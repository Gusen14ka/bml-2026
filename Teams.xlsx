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/>
  <mc:AlternateContent xmlns:mc="http://schemas.openxmlformats.org/markup-compatibility/2006">
    <mc:Choice Requires="x15">
      <x15ac:absPath xmlns:x15ac="http://schemas.microsoft.com/office/spreadsheetml/2010/11/ac" url="/Users/kekc/Downloads/"/>
    </mc:Choice>
  </mc:AlternateContent>
  <xr:revisionPtr revIDLastSave="0" documentId="13_ncr:1_{B2FBB7FB-709E-3A4E-A5C4-35004A63711D}" xr6:coauthVersionLast="47" xr6:coauthVersionMax="47" xr10:uidLastSave="{00000000-0000-0000-0000-000000000000}"/>
  <bookViews>
    <workbookView xWindow="29540" yWindow="-9020" windowWidth="34160" windowHeight="27980" tabRatio="500" xr2:uid="{00000000-000D-0000-FFFF-FFFF00000000}"/>
  </bookViews>
  <sheets>
    <sheet name="ОМО_4" sheetId="1" r:id="rId1"/>
  </sheets>
  <definedNames>
    <definedName name="_xlnm._FilterDatabase" localSheetId="0" hidden="1">ОМО_4!$A$1:$O$1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G9" i="1" l="1"/>
  <c r="G11" i="1"/>
  <c r="G33" i="1"/>
  <c r="O82" i="1"/>
  <c r="O52" i="1"/>
  <c r="O65" i="1"/>
  <c r="O35" i="1"/>
  <c r="O11" i="1"/>
  <c r="O24" i="1"/>
  <c r="O68" i="1"/>
  <c r="O30" i="1"/>
  <c r="O2" i="1"/>
  <c r="O44" i="1"/>
  <c r="O34" i="1"/>
  <c r="O20" i="1"/>
  <c r="O38" i="1"/>
  <c r="O56" i="1"/>
  <c r="O46" i="1"/>
  <c r="O58" i="1"/>
  <c r="O50" i="1"/>
  <c r="O43" i="1"/>
  <c r="O5" i="1"/>
  <c r="O31" i="1"/>
  <c r="O61" i="1"/>
  <c r="O18" i="1"/>
  <c r="O10" i="1"/>
  <c r="G10" i="1"/>
  <c r="O4" i="1"/>
  <c r="O12" i="1"/>
  <c r="G8" i="1"/>
  <c r="G36" i="1"/>
  <c r="G68" i="1"/>
  <c r="G42" i="1"/>
  <c r="G18" i="1"/>
  <c r="G40" i="1"/>
  <c r="G57" i="1"/>
  <c r="G41" i="1"/>
  <c r="N2" i="1"/>
  <c r="G2" i="1" s="1"/>
  <c r="N68" i="1"/>
  <c r="N8" i="1"/>
  <c r="N18" i="1"/>
  <c r="N13" i="1"/>
  <c r="N30" i="1"/>
  <c r="G30" i="1" s="1"/>
  <c r="N20" i="1"/>
  <c r="N57" i="1"/>
  <c r="N33" i="1"/>
  <c r="N10" i="1"/>
  <c r="N14" i="1"/>
  <c r="N61" i="1"/>
  <c r="N34" i="1"/>
  <c r="N26" i="1"/>
  <c r="N38" i="1"/>
  <c r="G38" i="1" s="1"/>
  <c r="N24" i="1"/>
  <c r="N44" i="1"/>
  <c r="N12" i="1"/>
  <c r="N17" i="1"/>
  <c r="N43" i="1"/>
  <c r="N66" i="1"/>
  <c r="N73" i="1"/>
  <c r="N51" i="1"/>
  <c r="N27" i="1"/>
  <c r="N21" i="1"/>
  <c r="N40" i="1"/>
  <c r="N56" i="1"/>
  <c r="N60" i="1"/>
  <c r="N50" i="1"/>
  <c r="N9" i="1"/>
  <c r="N16" i="1"/>
  <c r="G51" i="1"/>
  <c r="N11" i="1"/>
  <c r="M35" i="1"/>
  <c r="M60" i="1"/>
  <c r="M44" i="1"/>
  <c r="M10" i="1"/>
  <c r="M13" i="1"/>
  <c r="M21" i="1"/>
  <c r="M74" i="1"/>
  <c r="G74" i="1" s="1"/>
  <c r="M33" i="1"/>
  <c r="M75" i="1"/>
  <c r="M26" i="1"/>
  <c r="M20" i="1"/>
  <c r="M17" i="1"/>
  <c r="M27" i="1"/>
  <c r="G27" i="1" s="1"/>
  <c r="M40" i="1"/>
  <c r="M43" i="1"/>
  <c r="M52" i="1"/>
  <c r="M56" i="1"/>
  <c r="M65" i="1"/>
  <c r="M73" i="1"/>
  <c r="M57" i="1"/>
  <c r="M42" i="1"/>
  <c r="M41" i="1"/>
  <c r="M34" i="1"/>
  <c r="M12" i="1"/>
  <c r="L24" i="1"/>
  <c r="L53" i="1"/>
  <c r="L8" i="1"/>
  <c r="L9" i="1"/>
  <c r="L56" i="1"/>
  <c r="G56" i="1" s="1"/>
  <c r="L57" i="1"/>
  <c r="L52" i="1"/>
  <c r="G52" i="1" s="1"/>
  <c r="L19" i="1"/>
  <c r="G19" i="1" s="1"/>
  <c r="L72" i="1"/>
  <c r="L20" i="1"/>
  <c r="L33" i="1"/>
  <c r="L44" i="1"/>
  <c r="L13" i="1"/>
  <c r="L11" i="1"/>
  <c r="L26" i="1"/>
  <c r="G26" i="1" s="1"/>
  <c r="L27" i="1"/>
  <c r="L16" i="1"/>
  <c r="L12" i="1"/>
  <c r="L35" i="1"/>
  <c r="L10" i="1"/>
  <c r="K26" i="1"/>
  <c r="K24" i="1"/>
  <c r="K72" i="1"/>
  <c r="K11" i="1"/>
  <c r="K17" i="1"/>
  <c r="K19" i="1"/>
  <c r="K10" i="1"/>
  <c r="K4" i="1"/>
  <c r="K20" i="1"/>
  <c r="K43" i="1"/>
  <c r="K73" i="1"/>
  <c r="K49" i="1"/>
  <c r="K44" i="1"/>
  <c r="K23" i="1"/>
  <c r="G23" i="1" s="1"/>
  <c r="G3" i="1"/>
  <c r="G4" i="1"/>
  <c r="G5" i="1"/>
  <c r="G6" i="1"/>
  <c r="G7" i="1"/>
  <c r="G14" i="1"/>
  <c r="G15" i="1"/>
  <c r="G22" i="1"/>
  <c r="G28" i="1"/>
  <c r="G29" i="1"/>
  <c r="G31" i="1"/>
  <c r="G32" i="1"/>
  <c r="G35" i="1"/>
  <c r="G37" i="1"/>
  <c r="G39" i="1"/>
  <c r="G44" i="1"/>
  <c r="G45" i="1"/>
  <c r="G46" i="1"/>
  <c r="G47" i="1"/>
  <c r="G48" i="1"/>
  <c r="G49" i="1"/>
  <c r="G50" i="1"/>
  <c r="G53" i="1"/>
  <c r="G54" i="1"/>
  <c r="G55" i="1"/>
  <c r="G58" i="1"/>
  <c r="G59" i="1"/>
  <c r="G60" i="1"/>
  <c r="G62" i="1"/>
  <c r="G63" i="1"/>
  <c r="G64" i="1"/>
  <c r="G65" i="1"/>
  <c r="G66" i="1"/>
  <c r="G67" i="1"/>
  <c r="G69" i="1"/>
  <c r="G70" i="1"/>
  <c r="G71" i="1"/>
  <c r="G75" i="1"/>
  <c r="G76" i="1"/>
  <c r="G77" i="1"/>
  <c r="G78" i="1"/>
  <c r="G79" i="1"/>
  <c r="G80" i="1"/>
  <c r="G81" i="1"/>
  <c r="G82" i="1"/>
  <c r="G83" i="1"/>
  <c r="J27" i="1"/>
  <c r="J24" i="1"/>
  <c r="G24" i="1" s="1"/>
  <c r="J25" i="1"/>
  <c r="G25" i="1" s="1"/>
  <c r="J21" i="1"/>
  <c r="J72" i="1"/>
  <c r="J20" i="1"/>
  <c r="G20" i="1" s="1"/>
  <c r="J73" i="1"/>
  <c r="J16" i="1"/>
  <c r="G16" i="1" s="1"/>
  <c r="J12" i="1"/>
  <c r="G61" i="1" l="1"/>
  <c r="G73" i="1"/>
  <c r="G72" i="1"/>
  <c r="G43" i="1"/>
  <c r="G17" i="1"/>
  <c r="G12" i="1"/>
  <c r="G21" i="1"/>
  <c r="G34" i="1"/>
  <c r="G13" i="1"/>
</calcChain>
</file>

<file path=xl/sharedStrings.xml><?xml version="1.0" encoding="utf-8"?>
<sst xmlns="http://schemas.openxmlformats.org/spreadsheetml/2006/main" count="343" uniqueCount="217">
  <si>
    <t>#</t>
  </si>
  <si>
    <t>ФИО</t>
  </si>
  <si>
    <t>Группа</t>
  </si>
  <si>
    <t>Команда</t>
  </si>
  <si>
    <t>Корся Ева</t>
  </si>
  <si>
    <t>5030102/30401</t>
  </si>
  <si>
    <t>Матвейчик Екатерина</t>
  </si>
  <si>
    <t>Дмитриенко Яна</t>
  </si>
  <si>
    <t>Шабанова Арина</t>
  </si>
  <si>
    <t>Власенко Виталия Ивановна</t>
  </si>
  <si>
    <t>5030102/30201</t>
  </si>
  <si>
    <t>Шевченко Дарья Андреевна</t>
  </si>
  <si>
    <t>Аулова Мария Владимировна</t>
  </si>
  <si>
    <t>Елисеева Мария Александровна</t>
  </si>
  <si>
    <t>Киселева Ксения</t>
  </si>
  <si>
    <t>5030102/30202</t>
  </si>
  <si>
    <t>Ятманова Анна</t>
  </si>
  <si>
    <t>Вайндрах Елизавета</t>
  </si>
  <si>
    <t>Чернорицкая Анастасия</t>
  </si>
  <si>
    <t>Кретова Дарья</t>
  </si>
  <si>
    <t>Эйсмонт Александра</t>
  </si>
  <si>
    <t>Воронцов Александр</t>
  </si>
  <si>
    <t>Шутова Юлия</t>
  </si>
  <si>
    <t>Андреев Ярослав</t>
  </si>
  <si>
    <t>Тимошенко Дарья</t>
  </si>
  <si>
    <t>Аюшева Рената</t>
  </si>
  <si>
    <t>Расторгуев Михаил Павлович</t>
  </si>
  <si>
    <t>Григорьева Анастасия</t>
  </si>
  <si>
    <t>Шевцов Дмитрий</t>
  </si>
  <si>
    <t>Назарова Анастасия</t>
  </si>
  <si>
    <t>Шилов Павел</t>
  </si>
  <si>
    <t>Волгина Анастасия</t>
  </si>
  <si>
    <t>5030102/30101</t>
  </si>
  <si>
    <t>Иванов Андрей</t>
  </si>
  <si>
    <t>Коваль Егор</t>
  </si>
  <si>
    <t>Мугтасимова Лиана</t>
  </si>
  <si>
    <t>Гиниятуллина Аида</t>
  </si>
  <si>
    <t>Шильдт Даниэль</t>
  </si>
  <si>
    <t>Иванов Александр</t>
  </si>
  <si>
    <t>Крапивина Ульяна</t>
  </si>
  <si>
    <t>Рзаева Элеонора Михайловна</t>
  </si>
  <si>
    <t>Савосина Дарья</t>
  </si>
  <si>
    <t>Архиповский Алексей</t>
  </si>
  <si>
    <t>Бурачевский Ефим</t>
  </si>
  <si>
    <t>Геллерт Илья</t>
  </si>
  <si>
    <t>Злочевский Андрей</t>
  </si>
  <si>
    <t>Козак Владислав</t>
  </si>
  <si>
    <t>Куракин Андрей</t>
  </si>
  <si>
    <t>Ларионов Сергей</t>
  </si>
  <si>
    <t>Павлов Михаил</t>
  </si>
  <si>
    <t>Сатунов Буучай</t>
  </si>
  <si>
    <t>Филь Фёдор</t>
  </si>
  <si>
    <t>Боровиков Артём Романович</t>
  </si>
  <si>
    <t>Горбачев Алексей Дмитриевич</t>
  </si>
  <si>
    <t>Гусев Глеб Артурович</t>
  </si>
  <si>
    <t>Гуцалов Егор Никитич</t>
  </si>
  <si>
    <t>Жданов Дмитрий Андреевич</t>
  </si>
  <si>
    <t>Житков Никита Сергеевич</t>
  </si>
  <si>
    <t>Жуков Александр Владимирович</t>
  </si>
  <si>
    <t>Крутянский Роман Игоревич</t>
  </si>
  <si>
    <t>Лемдянов Илья Данилович</t>
  </si>
  <si>
    <t>Литовченко Дмитрий Витальевич</t>
  </si>
  <si>
    <t xml:space="preserve">Малышев Дмитрий Викторович </t>
  </si>
  <si>
    <t>Медведьков Роман Антонович</t>
  </si>
  <si>
    <t>Никоноров Артем Константинович</t>
  </si>
  <si>
    <t>Сагун Александр Сергеевич</t>
  </si>
  <si>
    <t>Суханов Федор Алексеевич</t>
  </si>
  <si>
    <t>Черницын Иван Андреевич</t>
  </si>
  <si>
    <t>Юров Иван Андреевич</t>
  </si>
  <si>
    <t>Андреев Александр</t>
  </si>
  <si>
    <t>Бойцов Антон</t>
  </si>
  <si>
    <t>Герасимов Илья</t>
  </si>
  <si>
    <t>Гордеев Роман</t>
  </si>
  <si>
    <t>Кулиев Хакберди</t>
  </si>
  <si>
    <t>Куценко Артём</t>
  </si>
  <si>
    <t>Некрасов Леонид</t>
  </si>
  <si>
    <t>Петухов Дмитрий</t>
  </si>
  <si>
    <t>Рогожин Виктор</t>
  </si>
  <si>
    <t>Андреев Данила</t>
  </si>
  <si>
    <t>Андреев Даниил</t>
  </si>
  <si>
    <t>Басс Иван</t>
  </si>
  <si>
    <t>Виднов Максим</t>
  </si>
  <si>
    <t>Грищенко Илья</t>
  </si>
  <si>
    <t>Зинов Константин</t>
  </si>
  <si>
    <t>Колбин Марк</t>
  </si>
  <si>
    <t>Комаров Егор</t>
  </si>
  <si>
    <t>Никифоров Владислав</t>
  </si>
  <si>
    <t>Пятницын Матвей</t>
  </si>
  <si>
    <t>Сель Мехмет</t>
  </si>
  <si>
    <t>Шехурин Кирилл</t>
  </si>
  <si>
    <t>Выбранная тема</t>
  </si>
  <si>
    <t>Метод градиентного спуска 1 порядка</t>
  </si>
  <si>
    <t>Тема: К ближайших соседей</t>
  </si>
  <si>
    <t>Временные ряды</t>
  </si>
  <si>
    <t>Метод линейной регрессии</t>
  </si>
  <si>
    <t>Метод K-средних</t>
  </si>
  <si>
    <t>Градиентный бустинг</t>
  </si>
  <si>
    <t>DBSCAN</t>
  </si>
  <si>
    <t>Метод главных компонент</t>
  </si>
  <si>
    <t>Метод решающих деревьев</t>
  </si>
  <si>
    <t>Обратное распространение ошибки</t>
  </si>
  <si>
    <t>Регуляризация</t>
  </si>
  <si>
    <t>Автоматическое распознавание речи с использованием машинного обучения</t>
  </si>
  <si>
    <t>Метод логистической регрессии</t>
  </si>
  <si>
    <t>Аугментация данных</t>
  </si>
  <si>
    <t>Наивный байесовский классификатор</t>
  </si>
  <si>
    <t>Генетический алгоритм</t>
  </si>
  <si>
    <t>Случайный лес</t>
  </si>
  <si>
    <t>Полиномиальная регрессия</t>
  </si>
  <si>
    <t>Перцептрон</t>
  </si>
  <si>
    <t>Кросс валидация</t>
  </si>
  <si>
    <t>Методы отбора переменных</t>
  </si>
  <si>
    <t>Сверточные нейронные сети (CNN)</t>
  </si>
  <si>
    <t>Глубокое обучение с подкреплением</t>
  </si>
  <si>
    <t>Выступление</t>
  </si>
  <si>
    <t>Рекуррентные нейронные сети</t>
  </si>
  <si>
    <t>Метод опорных векторов</t>
  </si>
  <si>
    <t>Методы доменной адаптации</t>
  </si>
  <si>
    <t>Обучение с частичным привлечением учителя</t>
  </si>
  <si>
    <t>MLP Classifier</t>
  </si>
  <si>
    <t>Isolation Forest</t>
  </si>
  <si>
    <t>XGBoost</t>
  </si>
  <si>
    <t>Adaboost</t>
  </si>
  <si>
    <t>t-SNE</t>
  </si>
  <si>
    <t>Umap</t>
  </si>
  <si>
    <t>Стекинг и блендинг</t>
  </si>
  <si>
    <t>Гауссовские процессы (GP-регрессия)</t>
  </si>
  <si>
    <t>Энкодинги категориальных данных</t>
  </si>
  <si>
    <t>Механизм внимания трансформера</t>
  </si>
  <si>
    <t>Линейный дискриминантный анализ</t>
  </si>
  <si>
    <t>Баллы за презентацию</t>
  </si>
  <si>
    <t>Сумма баллов</t>
  </si>
  <si>
    <t xml:space="preserve"> </t>
  </si>
  <si>
    <t>Индивидуальное задание</t>
  </si>
  <si>
    <t>Сравнение случайного и стратифицированного разбиения выборки</t>
  </si>
  <si>
    <t>Влияние числа признаков на время обучения</t>
  </si>
  <si>
    <t>Влияние StandardScaler на метод опорных векторов</t>
  </si>
  <si>
    <t>Мягкое распределение объектов по кластерам в GaussianMixture</t>
  </si>
  <si>
    <t>Поиск аномалий во временном ряду с помощью скользящего z-score</t>
  </si>
  <si>
    <t>Оценка разброса качества по десяти случайным разбиениям</t>
  </si>
  <si>
    <t>Влияние параметра eps в DBSCAN</t>
  </si>
  <si>
    <t>Сравнение macro-F1 и weighted-F1</t>
  </si>
  <si>
    <t>Применение Bernoulli Naive Bayes к бинаризованным признакам</t>
  </si>
  <si>
    <t>Сравнение линейной модели и дерева на данных make_moons</t>
  </si>
  <si>
    <t>Сравнение RobustScaler и StandardScaler при наличии выбросов</t>
  </si>
  <si>
    <t>Классификация рукописных цифр методом ближайших соседей</t>
  </si>
  <si>
    <t>Сравнение SGDClassifier и PassiveAggressiveClassifier</t>
  </si>
  <si>
    <t>Построение Precision-Recall-кривой для редкого класса</t>
  </si>
  <si>
    <t>Влияние дублирующихся строк на качество классификации</t>
  </si>
  <si>
    <t>Влияние порога классификации 0,3; 0,5 и 0,7</t>
  </si>
  <si>
    <t>Построение кривой обучения для классификатора</t>
  </si>
  <si>
    <t>Сравнение униграмм и биграмм при классификации текстов</t>
  </si>
  <si>
    <t>Влияние StandardScaler на логистическую регрессию</t>
  </si>
  <si>
    <t>Добавление полиномиальных признаков для нелинейной зависимости</t>
  </si>
  <si>
    <t>Случайное уменьшение объектов частого класса</t>
  </si>
  <si>
    <t>Сравнение accuracy и F1 при дисбалансе классов</t>
  </si>
  <si>
    <t>Сравнение вариантов linkage в AgglomerativeClustering</t>
  </si>
  <si>
    <t>Сравнение MAE и RMSE при появлении выбросов</t>
  </si>
  <si>
    <t>Классификация рукописных цифр простой линейной моделью</t>
  </si>
  <si>
    <t>Влияние числа моделей в GradientBoostingClassifier</t>
  </si>
  <si>
    <t>Влияние числа соседей в Local Outlier Factor</t>
  </si>
  <si>
    <t>Прогноз следующего значения по лаговым признакам</t>
  </si>
  <si>
    <t>Интерпретация коэффициентов линейной регрессии</t>
  </si>
  <si>
    <t>Анализ нескольких ошибочно классифицированных объектов</t>
  </si>
  <si>
    <t>Влияние параметра C в SVC</t>
  </si>
  <si>
    <t>Влияние reg_param в QuadraticDiscriminantAnalysis</t>
  </si>
  <si>
    <t>Определение языка короткого текста по символьным n-граммам</t>
  </si>
  <si>
    <t>Сравнение весов классов и обычного обучения</t>
  </si>
  <si>
    <t>Влияние min_samples в DBSCAN</t>
  </si>
  <si>
    <t>Сравнение манхэттенского и евклидова расстояния в KNN</t>
  </si>
  <si>
    <t>Влияние random_state при разбиении данных на результат модели</t>
  </si>
  <si>
    <t>Упрощение дерева решений с помощью ccp_alpha</t>
  </si>
  <si>
    <t>Влияние размера окна скользящего среднего</t>
  </si>
  <si>
    <t>Построение Pipeline из масштабирования и классификатора</t>
  </si>
  <si>
    <t>Влияние var_smoothing в Gaussian Naive Bayes</t>
  </si>
  <si>
    <t>Добавление признака взаимодействия двух переменных</t>
  </si>
  <si>
    <t>Влияние числа деревьев в Random Forest</t>
  </si>
  <si>
    <t>Сохранение и загрузка обученной модели с помощью joblib</t>
  </si>
  <si>
    <t>Влияние начальной инициализации центров в KMeans</t>
  </si>
  <si>
    <t>Интерпретация коэффициента R² и графика остатков</t>
  </si>
  <si>
    <t>Влияние доли пропусков на качество классификатора</t>
  </si>
  <si>
    <t>Зависимость объяснённой дисперсии от числа компонент PCA</t>
  </si>
  <si>
    <t>Восстановление изображений после сжатия методом PCA</t>
  </si>
  <si>
    <t>Сравнение модели с DummyClassifier</t>
  </si>
  <si>
    <t>Влияние contamination в Isolation Forest</t>
  </si>
  <si>
    <t>Сравнение уверенности модели в правильных и ошибочных ответах</t>
  </si>
  <si>
    <t>Влияние max_features в Random Forest</t>
  </si>
  <si>
    <t>Влияние числа признаков в SelectKBest на качество модели</t>
  </si>
  <si>
    <t>Сравнение трёхблочной и десятиблочной кросс-валидации</t>
  </si>
  <si>
    <t>Применение ColumnTransformer к числовым и категориальным признакам</t>
  </si>
  <si>
    <t>Влияние случайных шумовых признаков на качество модели</t>
  </si>
  <si>
    <t>Влияние числа базовых моделей в BaggingClassifier</t>
  </si>
  <si>
    <t>Обработка неизвестной категории с помощью OneHotEncoder</t>
  </si>
  <si>
    <t>Влияние коэффициента alpha в Ridge-регрессии</t>
  </si>
  <si>
    <t>Влияние разбиения числового признака на интервалы на классификацию</t>
  </si>
  <si>
    <t>Заполнение категориальных пропусков самым частым значением и отдельной меткой</t>
  </si>
  <si>
    <t>Подбор одного гиперпараметра с помощью GridSearchCV</t>
  </si>
  <si>
    <t>Влияние параметра C в логистической регрессии</t>
  </si>
  <si>
    <t>Сравнение Ridge и Lasso на одном наборе данных</t>
  </si>
  <si>
    <t>Влияние числа итераций в SGDClassifier</t>
  </si>
  <si>
    <t>Влияние числа соседей в KNeighborsClassifier</t>
  </si>
  <si>
    <t>Влияние глубины дерева решений на переобучение</t>
  </si>
  <si>
    <t>Сравнение Brier score двух классификаторов</t>
  </si>
  <si>
    <t>Сравнение времени предсказания двух простых моделей</t>
  </si>
  <si>
    <t>Сравнение калибровочных кривых двух классификаторов</t>
  </si>
  <si>
    <t>Влияние perplexity на двумерную визуализацию t-SNE</t>
  </si>
  <si>
    <t>Сравнение ExtraTrees и Random Forest</t>
  </si>
  <si>
    <t>Сравнение случайного и хронологического разбиения временного ряда</t>
  </si>
  <si>
    <t>Исследование компромисса между precision и recall</t>
  </si>
  <si>
    <t>Подбор числа кластеров методом локтя</t>
  </si>
  <si>
    <t>Демонстрация утечки данных при масштабировании до разбиения выборки</t>
  </si>
  <si>
    <t>Влияние мультиколлинеарности на коэффициенты линейной регрессии</t>
  </si>
  <si>
    <t>Удаление признаков с нулевой дисперсией с помощью VarianceThreshold</t>
  </si>
  <si>
    <t>Влияние числа моделей в AdaBoostClassifier</t>
  </si>
  <si>
    <t>Классификация методом ближайшего центроида</t>
  </si>
  <si>
    <t>Влияние разделимости классов в make_classification</t>
  </si>
  <si>
    <t>Баллы за ИЗ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</si>
</sst>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b/>
      <sz val="10"/>
      <name val="Arial"/>
      <family val="2"/>
    </font>
    <font>
      <sz val="10"/>
      <color theme="6" tint="0.5999938962981048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top"/>
    </xf>
    <xf numFmtId="0" fontId="2" fillId="0" borderId="0" xfId="0" applyFont="1"/>
    <xf numFmtId="0" fontId="1" fillId="3" borderId="0" xfId="0" applyFont="1" applyFill="1" applyAlignment="1">
      <alignment horizontal="center" vertical="top"/>
    </xf>
    <xf numFmtId="16" fontId="0" fillId="3" borderId="0" xfId="0" applyNumberFormat="1" applyFill="1"/>
    <xf numFmtId="0" fontId="0" fillId="4" borderId="0" xfId="0" applyFill="1"/>
    <xf numFmtId="0" fontId="2" fillId="4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4"/>
  <sheetViews>
    <sheetView tabSelected="1" zoomScale="78" zoomScaleNormal="78" workbookViewId="0">
      <selection activeCell="G29" sqref="G29"/>
    </sheetView>
  </sheetViews>
  <sheetFormatPr baseColWidth="10" defaultColWidth="11.5" defaultRowHeight="13" x14ac:dyDescent="0.15"/>
  <cols>
    <col min="1" max="1" width="3.5" customWidth="1"/>
    <col min="2" max="2" width="31.33203125" customWidth="1"/>
    <col min="3" max="3" width="14.83203125" customWidth="1"/>
    <col min="4" max="4" width="77" bestFit="1" customWidth="1"/>
    <col min="6" max="6" width="70.6640625" bestFit="1" customWidth="1"/>
    <col min="7" max="7" width="19.1640625" bestFit="1" customWidth="1"/>
    <col min="8" max="8" width="19.1640625" customWidth="1"/>
    <col min="9" max="9" width="28.1640625" bestFit="1" customWidth="1"/>
    <col min="10" max="13" width="12.5" bestFit="1" customWidth="1"/>
  </cols>
  <sheetData>
    <row r="1" spans="1:15" x14ac:dyDescent="0.15">
      <c r="A1" s="1" t="s">
        <v>0</v>
      </c>
      <c r="B1" s="1" t="s">
        <v>1</v>
      </c>
      <c r="C1" s="1" t="s">
        <v>2</v>
      </c>
      <c r="D1" s="1" t="s">
        <v>133</v>
      </c>
      <c r="E1" s="1" t="s">
        <v>3</v>
      </c>
      <c r="F1" s="1" t="s">
        <v>90</v>
      </c>
      <c r="G1" s="1" t="s">
        <v>131</v>
      </c>
      <c r="H1" s="1" t="s">
        <v>216</v>
      </c>
      <c r="I1" s="3" t="s">
        <v>130</v>
      </c>
      <c r="J1" s="4">
        <v>46279</v>
      </c>
      <c r="K1" s="4">
        <v>46286</v>
      </c>
      <c r="L1" s="4">
        <v>46293</v>
      </c>
      <c r="M1" s="4">
        <v>46300</v>
      </c>
      <c r="N1" s="4">
        <v>46307</v>
      </c>
      <c r="O1" s="4">
        <v>46314</v>
      </c>
    </row>
    <row r="2" spans="1:15" x14ac:dyDescent="0.15">
      <c r="A2">
        <v>54</v>
      </c>
      <c r="B2" t="s">
        <v>4</v>
      </c>
      <c r="C2" t="s">
        <v>5</v>
      </c>
      <c r="D2" t="s">
        <v>135</v>
      </c>
      <c r="E2">
        <v>1</v>
      </c>
      <c r="F2" t="s">
        <v>91</v>
      </c>
      <c r="G2">
        <f>SUM(I2:W2)</f>
        <v>3</v>
      </c>
      <c r="N2">
        <f>1</f>
        <v>1</v>
      </c>
      <c r="O2">
        <f>1+0+1+0</f>
        <v>2</v>
      </c>
    </row>
    <row r="3" spans="1:15" x14ac:dyDescent="0.15">
      <c r="A3">
        <v>59</v>
      </c>
      <c r="B3" t="s">
        <v>6</v>
      </c>
      <c r="C3" t="s">
        <v>5</v>
      </c>
      <c r="D3" t="s">
        <v>136</v>
      </c>
      <c r="E3">
        <v>1</v>
      </c>
      <c r="F3" t="s">
        <v>91</v>
      </c>
      <c r="G3">
        <f>SUM(I3:W3)</f>
        <v>0</v>
      </c>
    </row>
    <row r="4" spans="1:15" x14ac:dyDescent="0.15">
      <c r="A4">
        <v>51</v>
      </c>
      <c r="B4" t="s">
        <v>7</v>
      </c>
      <c r="C4" t="s">
        <v>5</v>
      </c>
      <c r="D4" t="s">
        <v>137</v>
      </c>
      <c r="E4">
        <v>2</v>
      </c>
      <c r="F4" t="s">
        <v>92</v>
      </c>
      <c r="G4">
        <f>SUM(I4:W4)</f>
        <v>57</v>
      </c>
      <c r="I4">
        <v>50</v>
      </c>
      <c r="J4">
        <v>2</v>
      </c>
      <c r="K4">
        <f>2+2</f>
        <v>4</v>
      </c>
      <c r="O4" s="2">
        <f>1</f>
        <v>1</v>
      </c>
    </row>
    <row r="5" spans="1:15" x14ac:dyDescent="0.15">
      <c r="A5">
        <v>66</v>
      </c>
      <c r="B5" t="s">
        <v>8</v>
      </c>
      <c r="C5" t="s">
        <v>5</v>
      </c>
      <c r="D5" t="s">
        <v>138</v>
      </c>
      <c r="E5">
        <v>2</v>
      </c>
      <c r="F5" t="s">
        <v>92</v>
      </c>
      <c r="G5">
        <f>SUM(I5:W5)</f>
        <v>51</v>
      </c>
      <c r="I5">
        <v>50</v>
      </c>
      <c r="O5" s="2">
        <f>1</f>
        <v>1</v>
      </c>
    </row>
    <row r="6" spans="1:15" x14ac:dyDescent="0.15">
      <c r="A6">
        <v>24</v>
      </c>
      <c r="B6" t="s">
        <v>9</v>
      </c>
      <c r="C6" t="s">
        <v>10</v>
      </c>
      <c r="D6" t="s">
        <v>139</v>
      </c>
      <c r="E6">
        <v>3</v>
      </c>
      <c r="F6" t="s">
        <v>93</v>
      </c>
      <c r="G6">
        <f>SUM(I6:W6)</f>
        <v>0</v>
      </c>
    </row>
    <row r="7" spans="1:15" x14ac:dyDescent="0.15">
      <c r="A7">
        <v>43</v>
      </c>
      <c r="B7" t="s">
        <v>11</v>
      </c>
      <c r="C7" t="s">
        <v>10</v>
      </c>
      <c r="D7" t="s">
        <v>140</v>
      </c>
      <c r="E7">
        <v>3</v>
      </c>
      <c r="F7" t="s">
        <v>93</v>
      </c>
      <c r="G7">
        <f>SUM(I7:W7)</f>
        <v>0</v>
      </c>
    </row>
    <row r="8" spans="1:15" x14ac:dyDescent="0.15">
      <c r="A8">
        <v>22</v>
      </c>
      <c r="B8" t="s">
        <v>12</v>
      </c>
      <c r="C8" t="s">
        <v>10</v>
      </c>
      <c r="D8" t="s">
        <v>141</v>
      </c>
      <c r="E8">
        <v>4</v>
      </c>
      <c r="F8" t="s">
        <v>94</v>
      </c>
      <c r="G8">
        <f>SUM(H8:W8)</f>
        <v>54</v>
      </c>
      <c r="I8">
        <v>50</v>
      </c>
      <c r="J8" s="2"/>
      <c r="L8" s="2">
        <f>2+1+0</f>
        <v>3</v>
      </c>
      <c r="N8">
        <f>1</f>
        <v>1</v>
      </c>
    </row>
    <row r="9" spans="1:15" x14ac:dyDescent="0.15">
      <c r="A9">
        <v>28</v>
      </c>
      <c r="B9" t="s">
        <v>13</v>
      </c>
      <c r="C9" t="s">
        <v>10</v>
      </c>
      <c r="D9" t="s">
        <v>142</v>
      </c>
      <c r="E9">
        <v>4</v>
      </c>
      <c r="F9" t="s">
        <v>94</v>
      </c>
      <c r="G9">
        <f>SUM(H9:W9)</f>
        <v>98</v>
      </c>
      <c r="H9">
        <v>40</v>
      </c>
      <c r="I9">
        <v>50</v>
      </c>
      <c r="J9" s="2"/>
      <c r="K9">
        <v>1</v>
      </c>
      <c r="L9" s="2">
        <f>2+2+2</f>
        <v>6</v>
      </c>
      <c r="N9">
        <f>1</f>
        <v>1</v>
      </c>
    </row>
    <row r="10" spans="1:15" x14ac:dyDescent="0.15">
      <c r="A10">
        <v>9</v>
      </c>
      <c r="B10" t="s">
        <v>14</v>
      </c>
      <c r="C10" t="s">
        <v>15</v>
      </c>
      <c r="D10" t="s">
        <v>143</v>
      </c>
      <c r="E10">
        <v>5</v>
      </c>
      <c r="F10" t="s">
        <v>95</v>
      </c>
      <c r="G10" s="5">
        <f>SUM(I10:N10)</f>
        <v>60</v>
      </c>
      <c r="I10">
        <v>50</v>
      </c>
      <c r="J10" s="2" t="s">
        <v>114</v>
      </c>
      <c r="K10">
        <f>1+1+1</f>
        <v>3</v>
      </c>
      <c r="L10">
        <f>2</f>
        <v>2</v>
      </c>
      <c r="M10">
        <f>1+0+2</f>
        <v>3</v>
      </c>
      <c r="N10" s="5">
        <f>2+1-1</f>
        <v>2</v>
      </c>
      <c r="O10" s="5">
        <f>2+0</f>
        <v>2</v>
      </c>
    </row>
    <row r="11" spans="1:15" x14ac:dyDescent="0.15">
      <c r="A11">
        <v>21</v>
      </c>
      <c r="B11" t="s">
        <v>16</v>
      </c>
      <c r="C11" t="s">
        <v>15</v>
      </c>
      <c r="D11" t="s">
        <v>144</v>
      </c>
      <c r="E11">
        <v>5</v>
      </c>
      <c r="F11" t="s">
        <v>95</v>
      </c>
      <c r="G11" s="5">
        <f>SUM(H11:W11)</f>
        <v>100</v>
      </c>
      <c r="H11">
        <v>40</v>
      </c>
      <c r="I11">
        <v>50</v>
      </c>
      <c r="J11" s="2" t="s">
        <v>114</v>
      </c>
      <c r="K11">
        <f>1+1+1</f>
        <v>3</v>
      </c>
      <c r="L11">
        <f>2+1</f>
        <v>3</v>
      </c>
      <c r="N11">
        <f>0</f>
        <v>0</v>
      </c>
      <c r="O11">
        <f>2+2</f>
        <v>4</v>
      </c>
    </row>
    <row r="12" spans="1:15" x14ac:dyDescent="0.15">
      <c r="A12">
        <v>4</v>
      </c>
      <c r="B12" t="s">
        <v>17</v>
      </c>
      <c r="C12" t="s">
        <v>15</v>
      </c>
      <c r="D12" t="s">
        <v>145</v>
      </c>
      <c r="E12">
        <v>6</v>
      </c>
      <c r="F12" t="s">
        <v>96</v>
      </c>
      <c r="G12">
        <f>SUM(I12:W12)</f>
        <v>59</v>
      </c>
      <c r="I12">
        <v>50</v>
      </c>
      <c r="J12">
        <f>1+1</f>
        <v>2</v>
      </c>
      <c r="K12" s="2" t="s">
        <v>114</v>
      </c>
      <c r="L12">
        <f>0</f>
        <v>0</v>
      </c>
      <c r="M12">
        <f>2</f>
        <v>2</v>
      </c>
      <c r="N12">
        <f>0+1</f>
        <v>1</v>
      </c>
      <c r="O12">
        <f>2+2</f>
        <v>4</v>
      </c>
    </row>
    <row r="13" spans="1:15" x14ac:dyDescent="0.15">
      <c r="A13">
        <v>17</v>
      </c>
      <c r="B13" t="s">
        <v>18</v>
      </c>
      <c r="C13" t="s">
        <v>15</v>
      </c>
      <c r="D13" t="s">
        <v>146</v>
      </c>
      <c r="E13">
        <v>6</v>
      </c>
      <c r="F13" t="s">
        <v>96</v>
      </c>
      <c r="G13" s="5">
        <f>SUM(I13:W13)</f>
        <v>60</v>
      </c>
      <c r="I13">
        <v>50</v>
      </c>
      <c r="K13" s="2" t="s">
        <v>114</v>
      </c>
      <c r="L13">
        <f>2</f>
        <v>2</v>
      </c>
      <c r="M13">
        <f>1+2+1</f>
        <v>4</v>
      </c>
      <c r="N13" s="5">
        <f>2+2+1-1</f>
        <v>4</v>
      </c>
    </row>
    <row r="14" spans="1:15" x14ac:dyDescent="0.15">
      <c r="A14">
        <v>56</v>
      </c>
      <c r="B14" t="s">
        <v>19</v>
      </c>
      <c r="C14" t="s">
        <v>5</v>
      </c>
      <c r="D14" t="s">
        <v>147</v>
      </c>
      <c r="E14">
        <v>7</v>
      </c>
      <c r="F14" t="s">
        <v>97</v>
      </c>
      <c r="G14">
        <f>SUM(I14:W14)</f>
        <v>2</v>
      </c>
      <c r="N14">
        <f>2</f>
        <v>2</v>
      </c>
    </row>
    <row r="15" spans="1:15" x14ac:dyDescent="0.15">
      <c r="A15">
        <v>68</v>
      </c>
      <c r="B15" t="s">
        <v>20</v>
      </c>
      <c r="C15" t="s">
        <v>5</v>
      </c>
      <c r="D15" t="s">
        <v>148</v>
      </c>
      <c r="E15">
        <v>7</v>
      </c>
      <c r="F15" t="s">
        <v>97</v>
      </c>
      <c r="G15">
        <f>SUM(I15:W15)</f>
        <v>0</v>
      </c>
    </row>
    <row r="16" spans="1:15" x14ac:dyDescent="0.15">
      <c r="A16">
        <v>48</v>
      </c>
      <c r="B16" t="s">
        <v>21</v>
      </c>
      <c r="C16" t="s">
        <v>5</v>
      </c>
      <c r="D16" t="s">
        <v>149</v>
      </c>
      <c r="E16">
        <v>8</v>
      </c>
      <c r="F16" t="s">
        <v>98</v>
      </c>
      <c r="G16">
        <f>SUM(I16:W16)</f>
        <v>54</v>
      </c>
      <c r="I16">
        <v>50</v>
      </c>
      <c r="J16">
        <f>2</f>
        <v>2</v>
      </c>
      <c r="K16" s="2" t="s">
        <v>114</v>
      </c>
      <c r="L16">
        <f>1</f>
        <v>1</v>
      </c>
      <c r="N16">
        <f>1</f>
        <v>1</v>
      </c>
    </row>
    <row r="17" spans="1:15" x14ac:dyDescent="0.15">
      <c r="A17">
        <v>67</v>
      </c>
      <c r="B17" t="s">
        <v>22</v>
      </c>
      <c r="C17" t="s">
        <v>5</v>
      </c>
      <c r="D17" t="s">
        <v>150</v>
      </c>
      <c r="E17">
        <v>8</v>
      </c>
      <c r="F17" t="s">
        <v>98</v>
      </c>
      <c r="G17">
        <f>SUM(I17:W17)</f>
        <v>59</v>
      </c>
      <c r="I17">
        <v>50</v>
      </c>
      <c r="K17" s="2">
        <f>2</f>
        <v>2</v>
      </c>
      <c r="M17">
        <f>1+2+1</f>
        <v>4</v>
      </c>
      <c r="N17">
        <f>1+1+1</f>
        <v>3</v>
      </c>
    </row>
    <row r="18" spans="1:15" x14ac:dyDescent="0.15">
      <c r="A18">
        <v>46</v>
      </c>
      <c r="B18" t="s">
        <v>23</v>
      </c>
      <c r="C18" t="s">
        <v>5</v>
      </c>
      <c r="D18" t="s">
        <v>151</v>
      </c>
      <c r="E18">
        <v>9</v>
      </c>
      <c r="F18" t="s">
        <v>99</v>
      </c>
      <c r="G18">
        <f>SUM(H18:W18)</f>
        <v>54</v>
      </c>
      <c r="I18">
        <v>50</v>
      </c>
      <c r="N18" s="2">
        <f>1+1</f>
        <v>2</v>
      </c>
      <c r="O18">
        <f>2</f>
        <v>2</v>
      </c>
    </row>
    <row r="19" spans="1:15" x14ac:dyDescent="0.15">
      <c r="A19">
        <v>65</v>
      </c>
      <c r="B19" t="s">
        <v>24</v>
      </c>
      <c r="C19" t="s">
        <v>5</v>
      </c>
      <c r="D19" t="s">
        <v>152</v>
      </c>
      <c r="E19">
        <v>9</v>
      </c>
      <c r="F19" t="s">
        <v>99</v>
      </c>
      <c r="G19" s="5">
        <f>SUM(I19:W19)</f>
        <v>60</v>
      </c>
      <c r="I19">
        <v>50</v>
      </c>
      <c r="K19">
        <f>1+2+1</f>
        <v>4</v>
      </c>
      <c r="L19">
        <f>2+2+1+1</f>
        <v>6</v>
      </c>
      <c r="N19" s="2" t="s">
        <v>114</v>
      </c>
    </row>
    <row r="20" spans="1:15" x14ac:dyDescent="0.15">
      <c r="A20">
        <v>2</v>
      </c>
      <c r="B20" t="s">
        <v>25</v>
      </c>
      <c r="C20" t="s">
        <v>15</v>
      </c>
      <c r="D20" t="s">
        <v>153</v>
      </c>
      <c r="E20">
        <v>10</v>
      </c>
      <c r="F20" t="s">
        <v>100</v>
      </c>
      <c r="G20" s="5">
        <f>SUM(I20:M20)</f>
        <v>60</v>
      </c>
      <c r="I20">
        <v>50</v>
      </c>
      <c r="J20">
        <f>1</f>
        <v>1</v>
      </c>
      <c r="K20">
        <f>1+1</f>
        <v>2</v>
      </c>
      <c r="L20">
        <f>2+1+2</f>
        <v>5</v>
      </c>
      <c r="M20">
        <f>1+1</f>
        <v>2</v>
      </c>
      <c r="N20" s="6">
        <f>1+2</f>
        <v>3</v>
      </c>
      <c r="O20" s="5">
        <f>1+1</f>
        <v>2</v>
      </c>
    </row>
    <row r="21" spans="1:15" x14ac:dyDescent="0.15">
      <c r="A21">
        <v>38</v>
      </c>
      <c r="B21" t="s">
        <v>26</v>
      </c>
      <c r="C21" t="s">
        <v>10</v>
      </c>
      <c r="D21" t="s">
        <v>154</v>
      </c>
      <c r="E21">
        <v>10</v>
      </c>
      <c r="F21" t="s">
        <v>100</v>
      </c>
      <c r="G21">
        <f>SUM(I21:W21)</f>
        <v>55</v>
      </c>
      <c r="I21">
        <v>50</v>
      </c>
      <c r="J21">
        <f>1+2</f>
        <v>3</v>
      </c>
      <c r="M21">
        <f>2</f>
        <v>2</v>
      </c>
      <c r="N21" s="2">
        <f>0</f>
        <v>0</v>
      </c>
    </row>
    <row r="22" spans="1:15" x14ac:dyDescent="0.15">
      <c r="A22">
        <v>7</v>
      </c>
      <c r="B22" t="s">
        <v>27</v>
      </c>
      <c r="C22" t="s">
        <v>15</v>
      </c>
      <c r="D22" t="s">
        <v>155</v>
      </c>
      <c r="E22">
        <v>11</v>
      </c>
      <c r="F22" t="s">
        <v>101</v>
      </c>
      <c r="G22">
        <f>SUM(I22:W22)</f>
        <v>0</v>
      </c>
    </row>
    <row r="23" spans="1:15" x14ac:dyDescent="0.15">
      <c r="A23">
        <v>18</v>
      </c>
      <c r="B23" t="s">
        <v>28</v>
      </c>
      <c r="C23" t="s">
        <v>15</v>
      </c>
      <c r="D23" t="s">
        <v>156</v>
      </c>
      <c r="E23">
        <v>11</v>
      </c>
      <c r="F23" t="s">
        <v>101</v>
      </c>
      <c r="G23">
        <f>SUM(I23:W23)</f>
        <v>1</v>
      </c>
      <c r="K23">
        <f>1</f>
        <v>1</v>
      </c>
    </row>
    <row r="24" spans="1:15" x14ac:dyDescent="0.15">
      <c r="A24">
        <v>13</v>
      </c>
      <c r="B24" t="s">
        <v>29</v>
      </c>
      <c r="C24" t="s">
        <v>15</v>
      </c>
      <c r="D24" t="s">
        <v>157</v>
      </c>
      <c r="E24">
        <v>12</v>
      </c>
      <c r="F24" t="s">
        <v>102</v>
      </c>
      <c r="G24" s="5">
        <f>SUM(I24:M24)</f>
        <v>10</v>
      </c>
      <c r="J24">
        <f>1</f>
        <v>1</v>
      </c>
      <c r="K24">
        <f>1+1+1</f>
        <v>3</v>
      </c>
      <c r="L24">
        <f>2+2+2</f>
        <v>6</v>
      </c>
      <c r="N24" s="5">
        <f>2+2+2</f>
        <v>6</v>
      </c>
      <c r="O24" s="5">
        <f>2+2</f>
        <v>4</v>
      </c>
    </row>
    <row r="25" spans="1:15" x14ac:dyDescent="0.15">
      <c r="A25">
        <v>19</v>
      </c>
      <c r="B25" t="s">
        <v>30</v>
      </c>
      <c r="C25" t="s">
        <v>15</v>
      </c>
      <c r="D25" t="s">
        <v>158</v>
      </c>
      <c r="E25">
        <v>12</v>
      </c>
      <c r="F25" t="s">
        <v>102</v>
      </c>
      <c r="G25">
        <f>SUM(I25:W25)</f>
        <v>1</v>
      </c>
      <c r="J25">
        <f>1</f>
        <v>1</v>
      </c>
    </row>
    <row r="26" spans="1:15" x14ac:dyDescent="0.15">
      <c r="A26">
        <v>73</v>
      </c>
      <c r="B26" t="s">
        <v>31</v>
      </c>
      <c r="C26" t="s">
        <v>32</v>
      </c>
      <c r="D26" t="s">
        <v>159</v>
      </c>
      <c r="E26">
        <v>13</v>
      </c>
      <c r="F26" t="s">
        <v>103</v>
      </c>
      <c r="G26">
        <f>SUM(I26:W26)</f>
        <v>57</v>
      </c>
      <c r="I26">
        <v>50</v>
      </c>
      <c r="K26" s="2">
        <f>1+1</f>
        <v>2</v>
      </c>
      <c r="L26">
        <f>2</f>
        <v>2</v>
      </c>
      <c r="M26">
        <f>1</f>
        <v>1</v>
      </c>
      <c r="N26">
        <f>2</f>
        <v>2</v>
      </c>
    </row>
    <row r="27" spans="1:15" x14ac:dyDescent="0.15">
      <c r="A27">
        <v>76</v>
      </c>
      <c r="B27" t="s">
        <v>33</v>
      </c>
      <c r="C27" t="s">
        <v>32</v>
      </c>
      <c r="D27" t="s">
        <v>160</v>
      </c>
      <c r="E27">
        <v>13</v>
      </c>
      <c r="F27" t="s">
        <v>103</v>
      </c>
      <c r="G27">
        <f>SUM(I27:W27)</f>
        <v>59</v>
      </c>
      <c r="I27">
        <v>50</v>
      </c>
      <c r="J27">
        <f>1+1</f>
        <v>2</v>
      </c>
      <c r="K27" s="2" t="s">
        <v>114</v>
      </c>
      <c r="L27">
        <f>1</f>
        <v>1</v>
      </c>
      <c r="M27">
        <f>2+1+0+2</f>
        <v>5</v>
      </c>
      <c r="N27">
        <f>1</f>
        <v>1</v>
      </c>
    </row>
    <row r="28" spans="1:15" x14ac:dyDescent="0.15">
      <c r="A28">
        <v>53</v>
      </c>
      <c r="B28" t="s">
        <v>34</v>
      </c>
      <c r="C28" t="s">
        <v>5</v>
      </c>
      <c r="D28" t="s">
        <v>161</v>
      </c>
      <c r="E28">
        <v>14</v>
      </c>
      <c r="F28" t="s">
        <v>104</v>
      </c>
      <c r="G28">
        <f>SUM(I28:W28)</f>
        <v>0</v>
      </c>
    </row>
    <row r="29" spans="1:15" x14ac:dyDescent="0.15">
      <c r="A29">
        <v>60</v>
      </c>
      <c r="B29" t="s">
        <v>35</v>
      </c>
      <c r="C29" t="s">
        <v>5</v>
      </c>
      <c r="D29" t="s">
        <v>162</v>
      </c>
      <c r="E29">
        <v>14</v>
      </c>
      <c r="F29" t="s">
        <v>104</v>
      </c>
      <c r="G29">
        <f>SUM(I29:W29)</f>
        <v>0</v>
      </c>
    </row>
    <row r="30" spans="1:15" x14ac:dyDescent="0.15">
      <c r="A30">
        <v>6</v>
      </c>
      <c r="B30" t="s">
        <v>36</v>
      </c>
      <c r="C30" t="s">
        <v>15</v>
      </c>
      <c r="D30" t="s">
        <v>163</v>
      </c>
      <c r="E30">
        <v>15</v>
      </c>
      <c r="F30" t="s">
        <v>105</v>
      </c>
      <c r="G30">
        <f>SUM(I30:W30)</f>
        <v>4</v>
      </c>
      <c r="N30">
        <f>2</f>
        <v>2</v>
      </c>
      <c r="O30">
        <f>2</f>
        <v>2</v>
      </c>
    </row>
    <row r="31" spans="1:15" x14ac:dyDescent="0.15">
      <c r="A31">
        <v>20</v>
      </c>
      <c r="B31" t="s">
        <v>37</v>
      </c>
      <c r="C31" t="s">
        <v>15</v>
      </c>
      <c r="D31" t="s">
        <v>164</v>
      </c>
      <c r="E31">
        <v>15</v>
      </c>
      <c r="F31" t="s">
        <v>105</v>
      </c>
      <c r="G31">
        <f>SUM(I31:W31)</f>
        <v>1</v>
      </c>
      <c r="O31">
        <f>1</f>
        <v>1</v>
      </c>
    </row>
    <row r="32" spans="1:15" x14ac:dyDescent="0.15">
      <c r="A32">
        <v>52</v>
      </c>
      <c r="B32" t="s">
        <v>38</v>
      </c>
      <c r="C32" t="s">
        <v>5</v>
      </c>
      <c r="D32" t="s">
        <v>165</v>
      </c>
      <c r="E32">
        <v>16</v>
      </c>
      <c r="F32" t="s">
        <v>106</v>
      </c>
      <c r="G32">
        <f>SUM(I32:W32)</f>
        <v>50</v>
      </c>
      <c r="I32">
        <v>50</v>
      </c>
      <c r="M32" s="2" t="s">
        <v>114</v>
      </c>
    </row>
    <row r="33" spans="1:15" x14ac:dyDescent="0.15">
      <c r="A33">
        <v>55</v>
      </c>
      <c r="B33" t="s">
        <v>39</v>
      </c>
      <c r="C33" t="s">
        <v>5</v>
      </c>
      <c r="D33" t="s">
        <v>166</v>
      </c>
      <c r="E33">
        <v>16</v>
      </c>
      <c r="F33" t="s">
        <v>106</v>
      </c>
      <c r="G33" s="5">
        <f>SUM(H33:W33)</f>
        <v>100</v>
      </c>
      <c r="H33">
        <v>40</v>
      </c>
      <c r="I33">
        <v>50</v>
      </c>
      <c r="L33">
        <f>2+1</f>
        <v>3</v>
      </c>
      <c r="M33" s="2">
        <f>1+2</f>
        <v>3</v>
      </c>
      <c r="N33" s="5">
        <f>2+2+2-2</f>
        <v>4</v>
      </c>
    </row>
    <row r="34" spans="1:15" x14ac:dyDescent="0.15">
      <c r="A34">
        <v>36</v>
      </c>
      <c r="B34" t="s">
        <v>63</v>
      </c>
      <c r="C34" t="s">
        <v>10</v>
      </c>
      <c r="D34" t="s">
        <v>167</v>
      </c>
      <c r="E34">
        <v>17</v>
      </c>
      <c r="F34" t="s">
        <v>107</v>
      </c>
      <c r="G34">
        <f>SUM(I34:W34)</f>
        <v>58</v>
      </c>
      <c r="I34">
        <v>50</v>
      </c>
      <c r="M34">
        <f>1</f>
        <v>1</v>
      </c>
      <c r="N34">
        <f>2+1+2</f>
        <v>5</v>
      </c>
      <c r="O34" s="2">
        <f>2</f>
        <v>2</v>
      </c>
    </row>
    <row r="35" spans="1:15" x14ac:dyDescent="0.15">
      <c r="A35">
        <v>39</v>
      </c>
      <c r="B35" t="s">
        <v>40</v>
      </c>
      <c r="C35" t="s">
        <v>10</v>
      </c>
      <c r="D35" t="s">
        <v>168</v>
      </c>
      <c r="E35">
        <v>17</v>
      </c>
      <c r="F35" t="s">
        <v>107</v>
      </c>
      <c r="G35">
        <f>SUM(I35:W35)</f>
        <v>55</v>
      </c>
      <c r="I35">
        <v>50</v>
      </c>
      <c r="L35">
        <f>2</f>
        <v>2</v>
      </c>
      <c r="M35">
        <f>2</f>
        <v>2</v>
      </c>
      <c r="O35" s="2">
        <f>1</f>
        <v>1</v>
      </c>
    </row>
    <row r="36" spans="1:15" x14ac:dyDescent="0.15">
      <c r="A36">
        <v>45</v>
      </c>
      <c r="B36" t="s">
        <v>69</v>
      </c>
      <c r="C36" t="s">
        <v>5</v>
      </c>
      <c r="D36" t="s">
        <v>169</v>
      </c>
      <c r="E36">
        <v>18</v>
      </c>
      <c r="F36" t="s">
        <v>108</v>
      </c>
      <c r="G36">
        <f>SUM(H36:W36)</f>
        <v>0</v>
      </c>
    </row>
    <row r="37" spans="1:15" x14ac:dyDescent="0.15">
      <c r="A37">
        <v>64</v>
      </c>
      <c r="B37" t="s">
        <v>41</v>
      </c>
      <c r="C37" t="s">
        <v>5</v>
      </c>
      <c r="D37" t="s">
        <v>170</v>
      </c>
      <c r="E37">
        <v>18</v>
      </c>
      <c r="F37" t="s">
        <v>108</v>
      </c>
      <c r="G37">
        <f>SUM(I37:W37)</f>
        <v>0</v>
      </c>
    </row>
    <row r="38" spans="1:15" x14ac:dyDescent="0.15">
      <c r="A38">
        <v>29</v>
      </c>
      <c r="B38" t="s">
        <v>56</v>
      </c>
      <c r="C38" t="s">
        <v>10</v>
      </c>
      <c r="D38" t="s">
        <v>171</v>
      </c>
      <c r="E38">
        <v>19</v>
      </c>
      <c r="F38" t="s">
        <v>109</v>
      </c>
      <c r="G38">
        <f>SUM(I38:W38)</f>
        <v>4</v>
      </c>
      <c r="N38">
        <f>1</f>
        <v>1</v>
      </c>
      <c r="O38">
        <f>1+2</f>
        <v>3</v>
      </c>
    </row>
    <row r="39" spans="1:15" x14ac:dyDescent="0.15">
      <c r="A39">
        <v>42</v>
      </c>
      <c r="B39" t="s">
        <v>67</v>
      </c>
      <c r="C39" t="s">
        <v>10</v>
      </c>
      <c r="D39" t="s">
        <v>172</v>
      </c>
      <c r="E39">
        <v>19</v>
      </c>
      <c r="F39" t="s">
        <v>109</v>
      </c>
      <c r="G39">
        <f>SUM(I39:W39)</f>
        <v>0</v>
      </c>
    </row>
    <row r="40" spans="1:15" x14ac:dyDescent="0.15">
      <c r="A40">
        <v>1</v>
      </c>
      <c r="B40" t="s">
        <v>42</v>
      </c>
      <c r="C40" t="s">
        <v>15</v>
      </c>
      <c r="D40" t="s">
        <v>173</v>
      </c>
      <c r="E40">
        <v>20</v>
      </c>
      <c r="F40" t="s">
        <v>110</v>
      </c>
      <c r="G40">
        <f>SUM(H40:W40)</f>
        <v>92</v>
      </c>
      <c r="H40">
        <v>40</v>
      </c>
      <c r="I40">
        <v>50</v>
      </c>
      <c r="J40" s="2" t="s">
        <v>114</v>
      </c>
      <c r="M40">
        <f>1+1</f>
        <v>2</v>
      </c>
      <c r="N40">
        <f>0</f>
        <v>0</v>
      </c>
    </row>
    <row r="41" spans="1:15" x14ac:dyDescent="0.15">
      <c r="A41">
        <v>5</v>
      </c>
      <c r="B41" t="s">
        <v>44</v>
      </c>
      <c r="C41" t="s">
        <v>15</v>
      </c>
      <c r="D41" t="s">
        <v>174</v>
      </c>
      <c r="E41">
        <v>20</v>
      </c>
      <c r="F41" t="s">
        <v>110</v>
      </c>
      <c r="G41" s="5">
        <f>SUM(H41:W41)</f>
        <v>100</v>
      </c>
      <c r="H41">
        <v>40</v>
      </c>
      <c r="I41">
        <v>50</v>
      </c>
      <c r="J41" s="2">
        <v>1</v>
      </c>
      <c r="M41">
        <f>2+2+2+2+1</f>
        <v>9</v>
      </c>
    </row>
    <row r="42" spans="1:15" x14ac:dyDescent="0.15">
      <c r="A42">
        <v>69</v>
      </c>
      <c r="B42" t="s">
        <v>78</v>
      </c>
      <c r="C42" t="s">
        <v>32</v>
      </c>
      <c r="D42" t="s">
        <v>176</v>
      </c>
      <c r="E42">
        <v>21</v>
      </c>
      <c r="F42" t="s">
        <v>111</v>
      </c>
      <c r="G42">
        <f>SUM(H42:W42)</f>
        <v>52</v>
      </c>
      <c r="I42">
        <v>50</v>
      </c>
      <c r="J42" s="2"/>
      <c r="M42" s="2">
        <f>2</f>
        <v>2</v>
      </c>
    </row>
    <row r="43" spans="1:15" x14ac:dyDescent="0.15">
      <c r="A43">
        <v>11</v>
      </c>
      <c r="B43" t="s">
        <v>47</v>
      </c>
      <c r="C43" t="s">
        <v>15</v>
      </c>
      <c r="D43" t="s">
        <v>175</v>
      </c>
      <c r="E43">
        <v>21</v>
      </c>
      <c r="F43" t="s">
        <v>111</v>
      </c>
      <c r="G43" s="5">
        <f>SUM(I43:W43)</f>
        <v>60</v>
      </c>
      <c r="I43">
        <v>50</v>
      </c>
      <c r="J43" s="2"/>
      <c r="K43">
        <f>2</f>
        <v>2</v>
      </c>
      <c r="M43" s="2">
        <f>2+1</f>
        <v>3</v>
      </c>
      <c r="N43">
        <f>2+1</f>
        <v>3</v>
      </c>
      <c r="O43" s="5">
        <f>1+2-1</f>
        <v>2</v>
      </c>
    </row>
    <row r="44" spans="1:15" x14ac:dyDescent="0.15">
      <c r="A44">
        <v>26</v>
      </c>
      <c r="B44" t="s">
        <v>54</v>
      </c>
      <c r="C44" t="s">
        <v>10</v>
      </c>
      <c r="D44" t="s">
        <v>177</v>
      </c>
      <c r="E44">
        <v>22</v>
      </c>
      <c r="F44" t="s">
        <v>112</v>
      </c>
      <c r="G44">
        <f>SUM(I44:W44)</f>
        <v>8</v>
      </c>
      <c r="K44">
        <f>2</f>
        <v>2</v>
      </c>
      <c r="L44">
        <f>1</f>
        <v>1</v>
      </c>
      <c r="M44">
        <f>1</f>
        <v>1</v>
      </c>
      <c r="N44">
        <f>2</f>
        <v>2</v>
      </c>
      <c r="O44">
        <f>2</f>
        <v>2</v>
      </c>
    </row>
    <row r="45" spans="1:15" x14ac:dyDescent="0.15">
      <c r="A45">
        <v>31</v>
      </c>
      <c r="B45" t="s">
        <v>58</v>
      </c>
      <c r="C45" t="s">
        <v>10</v>
      </c>
      <c r="D45" t="s">
        <v>178</v>
      </c>
      <c r="E45">
        <v>22</v>
      </c>
      <c r="F45" t="s">
        <v>112</v>
      </c>
      <c r="G45">
        <f>SUM(I45:W45)</f>
        <v>0</v>
      </c>
    </row>
    <row r="46" spans="1:15" x14ac:dyDescent="0.15">
      <c r="A46">
        <v>72</v>
      </c>
      <c r="B46" t="s">
        <v>81</v>
      </c>
      <c r="C46" t="s">
        <v>32</v>
      </c>
      <c r="D46" t="s">
        <v>180</v>
      </c>
      <c r="E46">
        <v>23</v>
      </c>
      <c r="F46" t="s">
        <v>113</v>
      </c>
      <c r="G46">
        <f>SUM(I46:W46)</f>
        <v>4</v>
      </c>
      <c r="O46">
        <f>2+2</f>
        <v>4</v>
      </c>
    </row>
    <row r="47" spans="1:15" x14ac:dyDescent="0.15">
      <c r="A47">
        <v>14</v>
      </c>
      <c r="B47" t="s">
        <v>49</v>
      </c>
      <c r="C47" t="s">
        <v>15</v>
      </c>
      <c r="D47" t="s">
        <v>179</v>
      </c>
      <c r="E47">
        <v>23</v>
      </c>
      <c r="F47" t="s">
        <v>113</v>
      </c>
      <c r="G47">
        <f>SUM(I47:W47)</f>
        <v>0</v>
      </c>
    </row>
    <row r="48" spans="1:15" x14ac:dyDescent="0.15">
      <c r="A48">
        <v>49</v>
      </c>
      <c r="B48" t="s">
        <v>71</v>
      </c>
      <c r="C48" t="s">
        <v>5</v>
      </c>
      <c r="D48" t="s">
        <v>181</v>
      </c>
      <c r="E48">
        <v>24</v>
      </c>
      <c r="F48" t="s">
        <v>115</v>
      </c>
      <c r="G48">
        <f>SUM(I48:W48)</f>
        <v>0</v>
      </c>
    </row>
    <row r="49" spans="1:15" x14ac:dyDescent="0.15">
      <c r="A49">
        <v>58</v>
      </c>
      <c r="B49" t="s">
        <v>74</v>
      </c>
      <c r="C49" t="s">
        <v>5</v>
      </c>
      <c r="D49" t="s">
        <v>182</v>
      </c>
      <c r="E49">
        <v>24</v>
      </c>
      <c r="F49" t="s">
        <v>115</v>
      </c>
      <c r="G49">
        <f>SUM(I49:W49)</f>
        <v>1</v>
      </c>
      <c r="K49">
        <f>1</f>
        <v>1</v>
      </c>
    </row>
    <row r="50" spans="1:15" x14ac:dyDescent="0.15">
      <c r="A50">
        <v>50</v>
      </c>
      <c r="B50" t="s">
        <v>72</v>
      </c>
      <c r="C50" t="s">
        <v>5</v>
      </c>
      <c r="D50" t="s">
        <v>183</v>
      </c>
      <c r="E50">
        <v>25</v>
      </c>
      <c r="F50" t="s">
        <v>116</v>
      </c>
      <c r="G50">
        <f>SUM(I50:W50)</f>
        <v>2</v>
      </c>
      <c r="N50">
        <f>1</f>
        <v>1</v>
      </c>
      <c r="O50">
        <f>1</f>
        <v>1</v>
      </c>
    </row>
    <row r="51" spans="1:15" x14ac:dyDescent="0.15">
      <c r="A51">
        <v>75</v>
      </c>
      <c r="B51" t="s">
        <v>83</v>
      </c>
      <c r="C51" t="s">
        <v>32</v>
      </c>
      <c r="D51" t="s">
        <v>184</v>
      </c>
      <c r="E51">
        <v>25</v>
      </c>
      <c r="F51" t="s">
        <v>116</v>
      </c>
      <c r="G51">
        <f>SUM(I51:W51)</f>
        <v>2</v>
      </c>
      <c r="N51">
        <f>0+2</f>
        <v>2</v>
      </c>
    </row>
    <row r="52" spans="1:15" x14ac:dyDescent="0.15">
      <c r="A52">
        <v>34</v>
      </c>
      <c r="B52" t="s">
        <v>61</v>
      </c>
      <c r="C52" t="s">
        <v>10</v>
      </c>
      <c r="D52" t="s">
        <v>185</v>
      </c>
      <c r="E52">
        <v>26</v>
      </c>
      <c r="F52" t="s">
        <v>117</v>
      </c>
      <c r="G52" s="5">
        <f>SUM(I52:W52)</f>
        <v>60</v>
      </c>
      <c r="I52">
        <v>50</v>
      </c>
      <c r="L52" s="2">
        <f>2+2+0+2</f>
        <v>6</v>
      </c>
      <c r="M52">
        <f>2</f>
        <v>2</v>
      </c>
      <c r="O52">
        <f>2</f>
        <v>2</v>
      </c>
    </row>
    <row r="53" spans="1:15" x14ac:dyDescent="0.15">
      <c r="A53">
        <v>41</v>
      </c>
      <c r="B53" t="s">
        <v>66</v>
      </c>
      <c r="C53" t="s">
        <v>10</v>
      </c>
      <c r="D53" t="s">
        <v>186</v>
      </c>
      <c r="E53">
        <v>26</v>
      </c>
      <c r="F53" t="s">
        <v>117</v>
      </c>
      <c r="G53">
        <f>SUM(I53:W53)</f>
        <v>53</v>
      </c>
      <c r="I53">
        <v>50</v>
      </c>
      <c r="L53" s="2">
        <f>1+0+2+0</f>
        <v>3</v>
      </c>
    </row>
    <row r="54" spans="1:15" x14ac:dyDescent="0.15">
      <c r="A54">
        <v>77</v>
      </c>
      <c r="B54" t="s">
        <v>84</v>
      </c>
      <c r="C54" t="s">
        <v>32</v>
      </c>
      <c r="D54" t="s">
        <v>187</v>
      </c>
      <c r="E54">
        <v>27</v>
      </c>
      <c r="F54" t="s">
        <v>118</v>
      </c>
      <c r="G54">
        <f>SUM(I54:W54)</f>
        <v>0</v>
      </c>
    </row>
    <row r="55" spans="1:15" x14ac:dyDescent="0.15">
      <c r="A55">
        <v>78</v>
      </c>
      <c r="B55" t="s">
        <v>85</v>
      </c>
      <c r="C55" t="s">
        <v>32</v>
      </c>
      <c r="D55" t="s">
        <v>188</v>
      </c>
      <c r="E55">
        <v>27</v>
      </c>
      <c r="F55" t="s">
        <v>118</v>
      </c>
      <c r="G55">
        <f>SUM(I55:W55)</f>
        <v>0</v>
      </c>
    </row>
    <row r="56" spans="1:15" x14ac:dyDescent="0.15">
      <c r="A56">
        <v>30</v>
      </c>
      <c r="B56" t="s">
        <v>57</v>
      </c>
      <c r="C56" t="s">
        <v>10</v>
      </c>
      <c r="D56" t="s">
        <v>189</v>
      </c>
      <c r="E56">
        <v>28</v>
      </c>
      <c r="F56" t="s">
        <v>119</v>
      </c>
      <c r="G56">
        <f>SUM(I56:W56)</f>
        <v>57</v>
      </c>
      <c r="I56">
        <v>50</v>
      </c>
      <c r="L56" s="2">
        <f>2+2+1</f>
        <v>5</v>
      </c>
      <c r="M56">
        <f>1</f>
        <v>1</v>
      </c>
      <c r="N56">
        <f>0</f>
        <v>0</v>
      </c>
      <c r="O56">
        <f>1+0+0+0</f>
        <v>1</v>
      </c>
    </row>
    <row r="57" spans="1:15" x14ac:dyDescent="0.15">
      <c r="A57">
        <v>40</v>
      </c>
      <c r="B57" t="s">
        <v>65</v>
      </c>
      <c r="C57" t="s">
        <v>10</v>
      </c>
      <c r="D57" t="s">
        <v>190</v>
      </c>
      <c r="E57">
        <v>28</v>
      </c>
      <c r="F57" t="s">
        <v>119</v>
      </c>
      <c r="G57" s="5">
        <f>SUM(H57:W57)</f>
        <v>100</v>
      </c>
      <c r="H57">
        <v>40</v>
      </c>
      <c r="I57">
        <v>50</v>
      </c>
      <c r="L57" s="2">
        <f>2+2+1</f>
        <v>5</v>
      </c>
      <c r="M57">
        <f>1+1</f>
        <v>2</v>
      </c>
      <c r="N57">
        <f>1+1+1</f>
        <v>3</v>
      </c>
    </row>
    <row r="58" spans="1:15" x14ac:dyDescent="0.15">
      <c r="A58">
        <v>3</v>
      </c>
      <c r="B58" t="s">
        <v>43</v>
      </c>
      <c r="C58" t="s">
        <v>15</v>
      </c>
      <c r="D58" t="s">
        <v>191</v>
      </c>
      <c r="E58">
        <v>29</v>
      </c>
      <c r="F58" t="s">
        <v>120</v>
      </c>
      <c r="G58">
        <f>SUM(I58:W58)</f>
        <v>1</v>
      </c>
      <c r="O58">
        <f>1</f>
        <v>1</v>
      </c>
    </row>
    <row r="59" spans="1:15" x14ac:dyDescent="0.15">
      <c r="A59">
        <v>10</v>
      </c>
      <c r="B59" t="s">
        <v>46</v>
      </c>
      <c r="C59" t="s">
        <v>15</v>
      </c>
      <c r="D59" t="s">
        <v>192</v>
      </c>
      <c r="E59">
        <v>29</v>
      </c>
      <c r="F59" t="s">
        <v>120</v>
      </c>
      <c r="G59">
        <f>SUM(I59:W59)</f>
        <v>0</v>
      </c>
    </row>
    <row r="60" spans="1:15" x14ac:dyDescent="0.15">
      <c r="A60">
        <v>23</v>
      </c>
      <c r="B60" t="s">
        <v>52</v>
      </c>
      <c r="C60" t="s">
        <v>10</v>
      </c>
      <c r="D60" t="s">
        <v>193</v>
      </c>
      <c r="E60">
        <v>30</v>
      </c>
      <c r="F60" t="s">
        <v>121</v>
      </c>
      <c r="G60">
        <f>SUM(I60:W60)</f>
        <v>2</v>
      </c>
      <c r="M60">
        <f>0+1</f>
        <v>1</v>
      </c>
      <c r="N60">
        <f>1</f>
        <v>1</v>
      </c>
    </row>
    <row r="61" spans="1:15" x14ac:dyDescent="0.15">
      <c r="A61">
        <v>35</v>
      </c>
      <c r="B61" t="s">
        <v>62</v>
      </c>
      <c r="C61" t="s">
        <v>10</v>
      </c>
      <c r="D61" t="s">
        <v>194</v>
      </c>
      <c r="E61">
        <v>30</v>
      </c>
      <c r="F61" t="s">
        <v>121</v>
      </c>
      <c r="G61">
        <f>SUM(I61:W61)</f>
        <v>6</v>
      </c>
      <c r="N61">
        <f>1+1</f>
        <v>2</v>
      </c>
      <c r="O61">
        <f>2+2</f>
        <v>4</v>
      </c>
    </row>
    <row r="62" spans="1:15" x14ac:dyDescent="0.15">
      <c r="A62">
        <v>62</v>
      </c>
      <c r="B62" t="s">
        <v>76</v>
      </c>
      <c r="C62" t="s">
        <v>5</v>
      </c>
      <c r="D62" t="s">
        <v>195</v>
      </c>
      <c r="E62">
        <v>31</v>
      </c>
      <c r="F62" t="s">
        <v>122</v>
      </c>
      <c r="G62">
        <f>SUM(I62:W62)</f>
        <v>0</v>
      </c>
    </row>
    <row r="63" spans="1:15" x14ac:dyDescent="0.15">
      <c r="A63">
        <v>63</v>
      </c>
      <c r="B63" t="s">
        <v>77</v>
      </c>
      <c r="C63" t="s">
        <v>5</v>
      </c>
      <c r="D63" t="s">
        <v>196</v>
      </c>
      <c r="E63">
        <v>31</v>
      </c>
      <c r="F63" t="s">
        <v>122</v>
      </c>
      <c r="G63">
        <f>SUM(I63:W63)</f>
        <v>0</v>
      </c>
    </row>
    <row r="64" spans="1:15" x14ac:dyDescent="0.15">
      <c r="A64">
        <v>27</v>
      </c>
      <c r="B64" t="s">
        <v>55</v>
      </c>
      <c r="C64" t="s">
        <v>10</v>
      </c>
      <c r="D64" t="s">
        <v>197</v>
      </c>
      <c r="E64">
        <v>32</v>
      </c>
      <c r="F64" t="s">
        <v>123</v>
      </c>
      <c r="G64">
        <f>SUM(I64:W64)</f>
        <v>0</v>
      </c>
      <c r="K64" s="2"/>
    </row>
    <row r="65" spans="1:15" x14ac:dyDescent="0.15">
      <c r="A65">
        <v>32</v>
      </c>
      <c r="B65" t="s">
        <v>59</v>
      </c>
      <c r="C65" t="s">
        <v>10</v>
      </c>
      <c r="D65" t="s">
        <v>198</v>
      </c>
      <c r="E65">
        <v>32</v>
      </c>
      <c r="F65" t="s">
        <v>123</v>
      </c>
      <c r="G65">
        <f>SUM(I65:W65)</f>
        <v>5</v>
      </c>
      <c r="M65">
        <f>2</f>
        <v>2</v>
      </c>
      <c r="O65">
        <f>2+1</f>
        <v>3</v>
      </c>
    </row>
    <row r="66" spans="1:15" x14ac:dyDescent="0.15">
      <c r="A66">
        <v>37</v>
      </c>
      <c r="B66" t="s">
        <v>64</v>
      </c>
      <c r="C66" t="s">
        <v>10</v>
      </c>
      <c r="D66" t="s">
        <v>199</v>
      </c>
      <c r="E66">
        <v>33</v>
      </c>
      <c r="F66" t="s">
        <v>125</v>
      </c>
      <c r="G66">
        <f>SUM(I66:W66)</f>
        <v>50</v>
      </c>
      <c r="I66">
        <v>50</v>
      </c>
      <c r="N66" s="2">
        <f>0</f>
        <v>0</v>
      </c>
    </row>
    <row r="67" spans="1:15" x14ac:dyDescent="0.15">
      <c r="A67">
        <v>44</v>
      </c>
      <c r="B67" t="s">
        <v>68</v>
      </c>
      <c r="C67" t="s">
        <v>10</v>
      </c>
      <c r="D67" t="s">
        <v>200</v>
      </c>
      <c r="E67">
        <v>33</v>
      </c>
      <c r="F67" t="s">
        <v>125</v>
      </c>
      <c r="G67">
        <f>SUM(I67:W67)</f>
        <v>50</v>
      </c>
      <c r="I67">
        <v>50</v>
      </c>
      <c r="N67" s="2" t="s">
        <v>114</v>
      </c>
    </row>
    <row r="68" spans="1:15" x14ac:dyDescent="0.15">
      <c r="A68">
        <v>70</v>
      </c>
      <c r="B68" t="s">
        <v>79</v>
      </c>
      <c r="C68" t="s">
        <v>32</v>
      </c>
      <c r="D68" t="s">
        <v>201</v>
      </c>
      <c r="E68">
        <v>34</v>
      </c>
      <c r="F68" t="s">
        <v>124</v>
      </c>
      <c r="G68">
        <f>SUM(H68:W68)</f>
        <v>2</v>
      </c>
      <c r="N68">
        <f>1</f>
        <v>1</v>
      </c>
      <c r="O68">
        <f>1</f>
        <v>1</v>
      </c>
    </row>
    <row r="69" spans="1:15" x14ac:dyDescent="0.15">
      <c r="A69">
        <v>79</v>
      </c>
      <c r="B69" t="s">
        <v>86</v>
      </c>
      <c r="C69" t="s">
        <v>32</v>
      </c>
      <c r="D69" t="s">
        <v>202</v>
      </c>
      <c r="E69">
        <v>34</v>
      </c>
      <c r="F69" t="s">
        <v>124</v>
      </c>
      <c r="G69">
        <f>SUM(I69:W69)</f>
        <v>0</v>
      </c>
    </row>
    <row r="70" spans="1:15" x14ac:dyDescent="0.15">
      <c r="A70">
        <v>12</v>
      </c>
      <c r="B70" t="s">
        <v>48</v>
      </c>
      <c r="C70" t="s">
        <v>15</v>
      </c>
      <c r="D70" t="s">
        <v>203</v>
      </c>
      <c r="E70">
        <v>35</v>
      </c>
      <c r="F70" t="s">
        <v>128</v>
      </c>
      <c r="G70">
        <f>SUM(I70:W70)</f>
        <v>0</v>
      </c>
    </row>
    <row r="71" spans="1:15" x14ac:dyDescent="0.15">
      <c r="A71">
        <v>16</v>
      </c>
      <c r="B71" t="s">
        <v>51</v>
      </c>
      <c r="C71" t="s">
        <v>15</v>
      </c>
      <c r="D71" t="s">
        <v>204</v>
      </c>
      <c r="E71">
        <v>35</v>
      </c>
      <c r="F71" t="s">
        <v>128</v>
      </c>
      <c r="G71">
        <f>SUM(I71:W71)</f>
        <v>0</v>
      </c>
    </row>
    <row r="72" spans="1:15" x14ac:dyDescent="0.15">
      <c r="A72">
        <v>71</v>
      </c>
      <c r="B72" t="s">
        <v>80</v>
      </c>
      <c r="C72" t="s">
        <v>32</v>
      </c>
      <c r="D72" t="s">
        <v>205</v>
      </c>
      <c r="E72">
        <v>36</v>
      </c>
      <c r="F72" t="s">
        <v>126</v>
      </c>
      <c r="G72" s="5">
        <f>SUM(I72:W72)</f>
        <v>60</v>
      </c>
      <c r="I72">
        <v>50</v>
      </c>
      <c r="J72">
        <f>1+1</f>
        <v>2</v>
      </c>
      <c r="K72">
        <f>1+1+1+1</f>
        <v>4</v>
      </c>
      <c r="L72">
        <f>2+1+1</f>
        <v>4</v>
      </c>
      <c r="M72" s="2" t="s">
        <v>114</v>
      </c>
    </row>
    <row r="73" spans="1:15" x14ac:dyDescent="0.15">
      <c r="A73">
        <v>74</v>
      </c>
      <c r="B73" t="s">
        <v>82</v>
      </c>
      <c r="C73" t="s">
        <v>32</v>
      </c>
      <c r="D73" t="s">
        <v>206</v>
      </c>
      <c r="E73">
        <v>36</v>
      </c>
      <c r="F73" t="s">
        <v>126</v>
      </c>
      <c r="G73">
        <f>SUM(I73:W73)</f>
        <v>56</v>
      </c>
      <c r="I73">
        <v>50</v>
      </c>
      <c r="J73">
        <f>1</f>
        <v>1</v>
      </c>
      <c r="K73">
        <f>1</f>
        <v>1</v>
      </c>
      <c r="M73" s="2">
        <f>1</f>
        <v>1</v>
      </c>
      <c r="N73">
        <f>1+2</f>
        <v>3</v>
      </c>
    </row>
    <row r="74" spans="1:15" x14ac:dyDescent="0.15">
      <c r="A74">
        <v>80</v>
      </c>
      <c r="B74" t="s">
        <v>87</v>
      </c>
      <c r="C74" t="s">
        <v>32</v>
      </c>
      <c r="D74" t="s">
        <v>207</v>
      </c>
      <c r="E74">
        <v>37</v>
      </c>
      <c r="F74" t="s">
        <v>127</v>
      </c>
      <c r="G74">
        <f>SUM(I74:W74)</f>
        <v>1</v>
      </c>
      <c r="M74">
        <f>1</f>
        <v>1</v>
      </c>
    </row>
    <row r="75" spans="1:15" x14ac:dyDescent="0.15">
      <c r="A75">
        <v>81</v>
      </c>
      <c r="B75" t="s">
        <v>88</v>
      </c>
      <c r="C75" t="s">
        <v>32</v>
      </c>
      <c r="D75" t="s">
        <v>208</v>
      </c>
      <c r="E75">
        <v>37</v>
      </c>
      <c r="F75" t="s">
        <v>127</v>
      </c>
      <c r="G75">
        <f>SUM(I75:W75)</f>
        <v>1</v>
      </c>
      <c r="M75">
        <f>1</f>
        <v>1</v>
      </c>
    </row>
    <row r="76" spans="1:15" x14ac:dyDescent="0.15">
      <c r="A76">
        <v>57</v>
      </c>
      <c r="B76" t="s">
        <v>73</v>
      </c>
      <c r="C76" t="s">
        <v>5</v>
      </c>
      <c r="D76" t="s">
        <v>209</v>
      </c>
      <c r="E76">
        <v>38</v>
      </c>
      <c r="F76" t="s">
        <v>129</v>
      </c>
      <c r="G76">
        <f>SUM(I76:W76)</f>
        <v>0</v>
      </c>
    </row>
    <row r="77" spans="1:15" x14ac:dyDescent="0.15">
      <c r="A77">
        <v>61</v>
      </c>
      <c r="B77" t="s">
        <v>75</v>
      </c>
      <c r="C77" t="s">
        <v>5</v>
      </c>
      <c r="D77" t="s">
        <v>134</v>
      </c>
      <c r="E77">
        <v>38</v>
      </c>
      <c r="F77" t="s">
        <v>129</v>
      </c>
      <c r="G77">
        <f>SUM(I77:W77)</f>
        <v>0</v>
      </c>
    </row>
    <row r="78" spans="1:15" x14ac:dyDescent="0.15">
      <c r="A78">
        <v>8</v>
      </c>
      <c r="B78" t="s">
        <v>45</v>
      </c>
      <c r="C78" t="s">
        <v>15</v>
      </c>
      <c r="D78" t="s">
        <v>210</v>
      </c>
      <c r="E78">
        <v>39</v>
      </c>
      <c r="G78">
        <f>SUM(I78:W78)</f>
        <v>0</v>
      </c>
    </row>
    <row r="79" spans="1:15" x14ac:dyDescent="0.15">
      <c r="A79">
        <v>15</v>
      </c>
      <c r="B79" t="s">
        <v>50</v>
      </c>
      <c r="C79" t="s">
        <v>15</v>
      </c>
      <c r="D79" t="s">
        <v>211</v>
      </c>
      <c r="E79">
        <v>39</v>
      </c>
      <c r="G79">
        <f>SUM(I79:W79)</f>
        <v>0</v>
      </c>
    </row>
    <row r="80" spans="1:15" x14ac:dyDescent="0.15">
      <c r="A80">
        <v>47</v>
      </c>
      <c r="B80" t="s">
        <v>70</v>
      </c>
      <c r="C80" t="s">
        <v>5</v>
      </c>
      <c r="D80" t="s">
        <v>214</v>
      </c>
      <c r="G80">
        <f>SUM(I80:W80)</f>
        <v>0</v>
      </c>
    </row>
    <row r="81" spans="1:15" x14ac:dyDescent="0.15">
      <c r="A81">
        <v>25</v>
      </c>
      <c r="B81" t="s">
        <v>53</v>
      </c>
      <c r="C81" t="s">
        <v>10</v>
      </c>
      <c r="D81" t="s">
        <v>212</v>
      </c>
      <c r="G81">
        <f>SUM(I81:W81)</f>
        <v>0</v>
      </c>
    </row>
    <row r="82" spans="1:15" x14ac:dyDescent="0.15">
      <c r="A82">
        <v>33</v>
      </c>
      <c r="B82" t="s">
        <v>60</v>
      </c>
      <c r="C82" t="s">
        <v>10</v>
      </c>
      <c r="D82" t="s">
        <v>213</v>
      </c>
      <c r="G82">
        <f>SUM(I82:W82)</f>
        <v>1</v>
      </c>
      <c r="O82">
        <f>1</f>
        <v>1</v>
      </c>
    </row>
    <row r="83" spans="1:15" x14ac:dyDescent="0.15">
      <c r="A83">
        <v>82</v>
      </c>
      <c r="B83" t="s">
        <v>89</v>
      </c>
      <c r="C83" t="s">
        <v>32</v>
      </c>
      <c r="D83" t="s">
        <v>215</v>
      </c>
      <c r="G83">
        <f>SUM(I83:W83)</f>
        <v>0</v>
      </c>
    </row>
    <row r="84" spans="1:15" x14ac:dyDescent="0.15">
      <c r="K84" t="s">
        <v>132</v>
      </c>
    </row>
  </sheetData>
  <autoFilter ref="A1:O1" xr:uid="{00000000-0001-0000-0000-000000000000}">
    <sortState xmlns:xlrd2="http://schemas.microsoft.com/office/spreadsheetml/2017/richdata2" ref="A2:O84">
      <sortCondition ref="E1:E84"/>
    </sortState>
  </autoFilter>
  <sortState xmlns:xlrd2="http://schemas.microsoft.com/office/spreadsheetml/2017/richdata2" ref="A2:F84">
    <sortCondition ref="E1:E84"/>
  </sortState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48260</TotalTime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ОМО_4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Office</cp:lastModifiedBy>
  <cp:revision>427</cp:revision>
  <dcterms:created xsi:type="dcterms:W3CDTF">2025-08-29T18:41:59Z</dcterms:created>
  <dcterms:modified xsi:type="dcterms:W3CDTF">2026-10-25T10:00:58Z</dcterms:modified>
  <dc:language>ru-RU</dc:language>
</cp:coreProperties>
</file>